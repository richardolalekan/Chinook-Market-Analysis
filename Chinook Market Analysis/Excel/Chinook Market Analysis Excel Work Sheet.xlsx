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xr:revisionPtr revIDLastSave="0" documentId="8_{52C91730-4D28-4830-B56F-5B68757D7BBF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AvgOrderValue" sheetId="1" r:id="rId1"/>
    <sheet name="CustomerRevenue" sheetId="2" r:id="rId2"/>
    <sheet name="Top5Genres" sheetId="3" r:id="rId3"/>
    <sheet name="Pivot Table" sheetId="6" r:id="rId4"/>
    <sheet name="RevenueByCountry" sheetId="4" r:id="rId5"/>
  </sheets>
  <calcPr calcId="191028"/>
  <pivotCaches>
    <pivotCache cacheId="24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4" l="1"/>
  <c r="G4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" i="2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" i="4"/>
</calcChain>
</file>

<file path=xl/sharedStrings.xml><?xml version="1.0" encoding="utf-8"?>
<sst xmlns="http://schemas.openxmlformats.org/spreadsheetml/2006/main" count="124" uniqueCount="48">
  <si>
    <t>Country</t>
  </si>
  <si>
    <t>AvgOrderValue</t>
  </si>
  <si>
    <t>OrderCount</t>
  </si>
  <si>
    <t>Chile</t>
  </si>
  <si>
    <t>Hungary</t>
  </si>
  <si>
    <t>Ireland</t>
  </si>
  <si>
    <t>Czech Republic</t>
  </si>
  <si>
    <t>Austria</t>
  </si>
  <si>
    <t>Finland</t>
  </si>
  <si>
    <t>Netherlands</t>
  </si>
  <si>
    <t>India</t>
  </si>
  <si>
    <t>USA</t>
  </si>
  <si>
    <t>Norway</t>
  </si>
  <si>
    <t>Germany</t>
  </si>
  <si>
    <t>France</t>
  </si>
  <si>
    <t>Portugal</t>
  </si>
  <si>
    <t>Sweden</t>
  </si>
  <si>
    <t>Brazil</t>
  </si>
  <si>
    <t>Canada</t>
  </si>
  <si>
    <t>Denmark</t>
  </si>
  <si>
    <t>Belgium</t>
  </si>
  <si>
    <t>Argentina</t>
  </si>
  <si>
    <t>Australia</t>
  </si>
  <si>
    <t>Poland</t>
  </si>
  <si>
    <t>Italy</t>
  </si>
  <si>
    <t>United Kingdom</t>
  </si>
  <si>
    <t>Spain</t>
  </si>
  <si>
    <t>NumCustomers</t>
  </si>
  <si>
    <t>TotalRevenue</t>
  </si>
  <si>
    <t>RevenuePerCustomer</t>
  </si>
  <si>
    <t>Flag</t>
  </si>
  <si>
    <t>Genre</t>
  </si>
  <si>
    <t>Revenue</t>
  </si>
  <si>
    <t>Rock</t>
  </si>
  <si>
    <t>Latin</t>
  </si>
  <si>
    <t>Metal</t>
  </si>
  <si>
    <t>Alternative &amp; Punk</t>
  </si>
  <si>
    <t>TV Shows</t>
  </si>
  <si>
    <t>Sum of TotalRevenue</t>
  </si>
  <si>
    <t>Grand Total</t>
  </si>
  <si>
    <t>TotalOrders</t>
  </si>
  <si>
    <t>TotalCustomers</t>
  </si>
  <si>
    <t>PctOfTotal</t>
  </si>
  <si>
    <t>Statistic</t>
  </si>
  <si>
    <t>Value</t>
  </si>
  <si>
    <t>Mean</t>
  </si>
  <si>
    <t>Median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</si>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</sst>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052564699072" createdVersion="8" refreshedVersion="8" minRefreshableVersion="3" recordCount="24" xr:uid="{78DD0DF1-5F73-4A26-B770-0C48EF18F0A2}">
  <cacheSource type="worksheet">
    <worksheetSource ref="A1:D25" sheet="RevenueByCountry"/>
  </cacheSource>
  <cacheFields count="4">
    <cacheField name="Country" numFmtId="0">
      <sharedItems count="24">
        <s v="USA"/>
        <s v="Canada"/>
        <s v="France"/>
        <s v="Brazil"/>
        <s v="Germany"/>
        <s v="United Kingdom"/>
        <s v="Czech Republic"/>
        <s v="Portugal"/>
        <s v="India"/>
        <s v="Chile"/>
        <s v="Ireland"/>
        <s v="Hungary"/>
        <s v="Austria"/>
        <s v="Finland"/>
        <s v="Netherlands"/>
        <s v="Norway"/>
        <s v="Sweden"/>
        <s v="Spain"/>
        <s v="Poland"/>
        <s v="Italy"/>
        <s v="Belgium"/>
        <s v="Argentina"/>
        <s v="Australia"/>
        <s v="Denmark"/>
      </sharedItems>
    </cacheField>
    <cacheField name="NumCustomers" numFmtId="0">
      <sharedItems containsSemiMixedTypes="0" containsString="0" containsNumber="1" minValue="37.619999999999997" maxValue="523.05999999999995"/>
    </cacheField>
    <cacheField name="TotalRevenue" numFmtId="0">
      <sharedItems containsSemiMixedTypes="0" containsString="0" containsNumber="1" containsInteger="1" minValue="7" maxValue="91"/>
    </cacheField>
    <cacheField name="RevenuePerCustomer" numFmtId="0">
      <sharedItems containsSemiMixedTypes="0" containsString="0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523.05999999999995"/>
    <n v="91"/>
    <n v="13"/>
  </r>
  <r>
    <x v="1"/>
    <n v="303.95999999999998"/>
    <n v="56"/>
    <n v="8"/>
  </r>
  <r>
    <x v="2"/>
    <n v="195.1"/>
    <n v="35"/>
    <n v="5"/>
  </r>
  <r>
    <x v="3"/>
    <n v="190.1"/>
    <n v="35"/>
    <n v="5"/>
  </r>
  <r>
    <x v="4"/>
    <n v="156.47999999999999"/>
    <n v="28"/>
    <n v="4"/>
  </r>
  <r>
    <x v="5"/>
    <n v="112.86"/>
    <n v="21"/>
    <n v="3"/>
  </r>
  <r>
    <x v="6"/>
    <n v="90.24"/>
    <n v="14"/>
    <n v="2"/>
  </r>
  <r>
    <x v="7"/>
    <n v="77.239999999999995"/>
    <n v="14"/>
    <n v="2"/>
  </r>
  <r>
    <x v="8"/>
    <n v="75.260000000000005"/>
    <n v="13"/>
    <n v="2"/>
  </r>
  <r>
    <x v="9"/>
    <n v="46.62"/>
    <n v="7"/>
    <n v="1"/>
  </r>
  <r>
    <x v="10"/>
    <n v="45.62"/>
    <n v="7"/>
    <n v="1"/>
  </r>
  <r>
    <x v="11"/>
    <n v="45.62"/>
    <n v="7"/>
    <n v="1"/>
  </r>
  <r>
    <x v="12"/>
    <n v="42.62"/>
    <n v="7"/>
    <n v="1"/>
  </r>
  <r>
    <x v="13"/>
    <n v="41.62"/>
    <n v="7"/>
    <n v="1"/>
  </r>
  <r>
    <x v="14"/>
    <n v="40.619999999999997"/>
    <n v="7"/>
    <n v="1"/>
  </r>
  <r>
    <x v="15"/>
    <n v="39.619999999999997"/>
    <n v="7"/>
    <n v="1"/>
  </r>
  <r>
    <x v="16"/>
    <n v="38.619999999999997"/>
    <n v="7"/>
    <n v="1"/>
  </r>
  <r>
    <x v="17"/>
    <n v="37.619999999999997"/>
    <n v="7"/>
    <n v="1"/>
  </r>
  <r>
    <x v="18"/>
    <n v="37.619999999999997"/>
    <n v="7"/>
    <n v="1"/>
  </r>
  <r>
    <x v="19"/>
    <n v="37.619999999999997"/>
    <n v="7"/>
    <n v="1"/>
  </r>
  <r>
    <x v="20"/>
    <n v="37.619999999999997"/>
    <n v="7"/>
    <n v="1"/>
  </r>
  <r>
    <x v="21"/>
    <n v="37.619999999999997"/>
    <n v="7"/>
    <n v="1"/>
  </r>
  <r>
    <x v="22"/>
    <n v="37.619999999999997"/>
    <n v="7"/>
    <n v="1"/>
  </r>
  <r>
    <x v="23"/>
    <n v="37.619999999999997"/>
    <n v="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31739-2960-4DB8-9D8F-1E0E30CCB6E2}" name="PivotTable1" cacheId="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26" firstHeaderRow="1" firstDataRow="1" firstDataCol="1"/>
  <pivotFields count="4">
    <pivotField axis="axisRow" compact="0" outline="0" showAll="0">
      <items count="25">
        <item x="21"/>
        <item x="22"/>
        <item x="12"/>
        <item x="20"/>
        <item x="3"/>
        <item x="1"/>
        <item x="9"/>
        <item x="6"/>
        <item x="23"/>
        <item x="13"/>
        <item x="2"/>
        <item x="4"/>
        <item x="11"/>
        <item x="8"/>
        <item x="10"/>
        <item x="19"/>
        <item x="14"/>
        <item x="15"/>
        <item x="18"/>
        <item x="7"/>
        <item x="17"/>
        <item x="16"/>
        <item x="5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Revenu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D8" sqref="D8"/>
    </sheetView>
  </sheetViews>
  <sheetFormatPr defaultRowHeight="15"/>
  <sheetData>
    <row r="1" spans="1:3">
      <c r="A1" s="5" t="s">
        <v>0</v>
      </c>
      <c r="B1" s="5" t="s">
        <v>1</v>
      </c>
      <c r="C1" s="5" t="s">
        <v>2</v>
      </c>
    </row>
    <row r="2" spans="1:3">
      <c r="A2" s="1" t="s">
        <v>3</v>
      </c>
      <c r="B2" s="1">
        <v>6.66</v>
      </c>
      <c r="C2" s="1">
        <v>7</v>
      </c>
    </row>
    <row r="3" spans="1:3">
      <c r="A3" s="1" t="s">
        <v>4</v>
      </c>
      <c r="B3" s="1">
        <v>6.52</v>
      </c>
      <c r="C3" s="1">
        <v>7</v>
      </c>
    </row>
    <row r="4" spans="1:3">
      <c r="A4" s="1" t="s">
        <v>5</v>
      </c>
      <c r="B4" s="1">
        <v>6.52</v>
      </c>
      <c r="C4" s="1">
        <v>7</v>
      </c>
    </row>
    <row r="5" spans="1:3">
      <c r="A5" s="1" t="s">
        <v>6</v>
      </c>
      <c r="B5" s="1">
        <v>6.45</v>
      </c>
      <c r="C5" s="1">
        <v>14</v>
      </c>
    </row>
    <row r="6" spans="1:3">
      <c r="A6" s="1" t="s">
        <v>7</v>
      </c>
      <c r="B6" s="1">
        <v>6.09</v>
      </c>
      <c r="C6" s="1">
        <v>7</v>
      </c>
    </row>
    <row r="7" spans="1:3">
      <c r="A7" s="1" t="s">
        <v>8</v>
      </c>
      <c r="B7" s="1">
        <v>5.95</v>
      </c>
      <c r="C7" s="1">
        <v>7</v>
      </c>
    </row>
    <row r="8" spans="1:3">
      <c r="A8" s="1" t="s">
        <v>9</v>
      </c>
      <c r="B8" s="1">
        <v>5.8</v>
      </c>
      <c r="C8" s="1">
        <v>7</v>
      </c>
    </row>
    <row r="9" spans="1:3">
      <c r="A9" s="1" t="s">
        <v>10</v>
      </c>
      <c r="B9" s="1">
        <v>5.79</v>
      </c>
      <c r="C9" s="1">
        <v>13</v>
      </c>
    </row>
    <row r="10" spans="1:3">
      <c r="A10" s="1" t="s">
        <v>11</v>
      </c>
      <c r="B10" s="1">
        <v>5.75</v>
      </c>
      <c r="C10" s="1">
        <v>91</v>
      </c>
    </row>
    <row r="11" spans="1:3">
      <c r="A11" s="1" t="s">
        <v>12</v>
      </c>
      <c r="B11" s="1">
        <v>5.66</v>
      </c>
      <c r="C11" s="1">
        <v>7</v>
      </c>
    </row>
    <row r="12" spans="1:3">
      <c r="A12" s="1" t="s">
        <v>13</v>
      </c>
      <c r="B12" s="1">
        <v>5.59</v>
      </c>
      <c r="C12" s="1">
        <v>28</v>
      </c>
    </row>
    <row r="13" spans="1:3">
      <c r="A13" s="1" t="s">
        <v>14</v>
      </c>
      <c r="B13" s="1">
        <v>5.57</v>
      </c>
      <c r="C13" s="1">
        <v>35</v>
      </c>
    </row>
    <row r="14" spans="1:3">
      <c r="A14" s="1" t="s">
        <v>15</v>
      </c>
      <c r="B14" s="1">
        <v>5.52</v>
      </c>
      <c r="C14" s="1">
        <v>14</v>
      </c>
    </row>
    <row r="15" spans="1:3">
      <c r="A15" s="1" t="s">
        <v>16</v>
      </c>
      <c r="B15" s="1">
        <v>5.52</v>
      </c>
      <c r="C15" s="1">
        <v>7</v>
      </c>
    </row>
    <row r="16" spans="1:3">
      <c r="A16" s="1" t="s">
        <v>17</v>
      </c>
      <c r="B16" s="1">
        <v>5.43</v>
      </c>
      <c r="C16" s="1">
        <v>35</v>
      </c>
    </row>
    <row r="17" spans="1:3">
      <c r="A17" s="1" t="s">
        <v>18</v>
      </c>
      <c r="B17" s="1">
        <v>5.43</v>
      </c>
      <c r="C17" s="1">
        <v>56</v>
      </c>
    </row>
    <row r="18" spans="1:3">
      <c r="A18" s="1" t="s">
        <v>19</v>
      </c>
      <c r="B18" s="1">
        <v>5.37</v>
      </c>
      <c r="C18" s="1">
        <v>7</v>
      </c>
    </row>
    <row r="19" spans="1:3">
      <c r="A19" s="1" t="s">
        <v>20</v>
      </c>
      <c r="B19" s="1">
        <v>5.37</v>
      </c>
      <c r="C19" s="1">
        <v>7</v>
      </c>
    </row>
    <row r="20" spans="1:3">
      <c r="A20" s="1" t="s">
        <v>21</v>
      </c>
      <c r="B20" s="1">
        <v>5.37</v>
      </c>
      <c r="C20" s="1">
        <v>7</v>
      </c>
    </row>
    <row r="21" spans="1:3">
      <c r="A21" s="1" t="s">
        <v>22</v>
      </c>
      <c r="B21" s="1">
        <v>5.37</v>
      </c>
      <c r="C21" s="1">
        <v>7</v>
      </c>
    </row>
    <row r="22" spans="1:3">
      <c r="A22" s="1" t="s">
        <v>23</v>
      </c>
      <c r="B22" s="1">
        <v>5.37</v>
      </c>
      <c r="C22" s="1">
        <v>7</v>
      </c>
    </row>
    <row r="23" spans="1:3">
      <c r="A23" s="1" t="s">
        <v>24</v>
      </c>
      <c r="B23" s="1">
        <v>5.37</v>
      </c>
      <c r="C23" s="1">
        <v>7</v>
      </c>
    </row>
    <row r="24" spans="1:3">
      <c r="A24" s="1" t="s">
        <v>25</v>
      </c>
      <c r="B24" s="1">
        <v>5.37</v>
      </c>
      <c r="C24" s="1">
        <v>21</v>
      </c>
    </row>
    <row r="25" spans="1:3">
      <c r="A25" s="1" t="s">
        <v>26</v>
      </c>
      <c r="B25" s="1">
        <v>5.37</v>
      </c>
      <c r="C25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6FC3-4C21-46AB-B3E5-02C5AEB8DB6F}">
  <dimension ref="A1:E25"/>
  <sheetViews>
    <sheetView workbookViewId="0"/>
  </sheetViews>
  <sheetFormatPr defaultRowHeight="15"/>
  <cols>
    <col min="5" max="5" width="23.140625" customWidth="1"/>
  </cols>
  <sheetData>
    <row r="1" spans="1:5">
      <c r="A1" s="5" t="s">
        <v>0</v>
      </c>
      <c r="B1" s="5" t="s">
        <v>27</v>
      </c>
      <c r="C1" s="5" t="s">
        <v>28</v>
      </c>
      <c r="D1" s="5" t="s">
        <v>29</v>
      </c>
      <c r="E1" s="5" t="s">
        <v>30</v>
      </c>
    </row>
    <row r="2" spans="1:5">
      <c r="A2" s="1" t="s">
        <v>3</v>
      </c>
      <c r="B2" s="1">
        <v>1</v>
      </c>
      <c r="C2" s="1">
        <v>46.62</v>
      </c>
      <c r="D2" s="1">
        <v>46.62</v>
      </c>
      <c r="E2" t="str">
        <f>IF(AND(D2&gt;AVERAGE($D$2:$D$25),B2&lt;3),"High value, few customers","")</f>
        <v>High value, few customers</v>
      </c>
    </row>
    <row r="3" spans="1:5">
      <c r="A3" s="1" t="s">
        <v>4</v>
      </c>
      <c r="B3" s="1">
        <v>1</v>
      </c>
      <c r="C3" s="1">
        <v>45.62</v>
      </c>
      <c r="D3" s="1">
        <v>45.62</v>
      </c>
      <c r="E3" t="str">
        <f t="shared" ref="E3:E8" si="0">IF(AND(D3&gt;AVERAGE($D$2:$D$25),B3&lt;3),"High value, few customers","")</f>
        <v>High value, few customers</v>
      </c>
    </row>
    <row r="4" spans="1:5">
      <c r="A4" s="1" t="s">
        <v>5</v>
      </c>
      <c r="B4" s="1">
        <v>1</v>
      </c>
      <c r="C4" s="1">
        <v>45.62</v>
      </c>
      <c r="D4" s="1">
        <v>45.62</v>
      </c>
      <c r="E4" t="str">
        <f t="shared" si="0"/>
        <v>High value, few customers</v>
      </c>
    </row>
    <row r="5" spans="1:5">
      <c r="A5" s="1" t="s">
        <v>6</v>
      </c>
      <c r="B5" s="1">
        <v>2</v>
      </c>
      <c r="C5" s="1">
        <v>90.24</v>
      </c>
      <c r="D5" s="1">
        <v>45.12</v>
      </c>
      <c r="E5" t="str">
        <f t="shared" si="0"/>
        <v>High value, few customers</v>
      </c>
    </row>
    <row r="6" spans="1:5">
      <c r="A6" s="1" t="s">
        <v>7</v>
      </c>
      <c r="B6" s="1">
        <v>1</v>
      </c>
      <c r="C6" s="1">
        <v>42.62</v>
      </c>
      <c r="D6" s="1">
        <v>42.62</v>
      </c>
      <c r="E6" t="str">
        <f t="shared" si="0"/>
        <v>High value, few customers</v>
      </c>
    </row>
    <row r="7" spans="1:5">
      <c r="A7" s="1" t="s">
        <v>8</v>
      </c>
      <c r="B7" s="1">
        <v>1</v>
      </c>
      <c r="C7" s="1">
        <v>41.62</v>
      </c>
      <c r="D7" s="1">
        <v>41.62</v>
      </c>
      <c r="E7" t="str">
        <f t="shared" si="0"/>
        <v>High value, few customers</v>
      </c>
    </row>
    <row r="8" spans="1:5">
      <c r="A8" s="1" t="s">
        <v>9</v>
      </c>
      <c r="B8" s="1">
        <v>1</v>
      </c>
      <c r="C8" s="1">
        <v>40.619999999999997</v>
      </c>
      <c r="D8" s="1">
        <v>40.619999999999997</v>
      </c>
      <c r="E8" t="str">
        <f t="shared" si="0"/>
        <v>High value, few customers</v>
      </c>
    </row>
    <row r="9" spans="1:5">
      <c r="A9" s="1" t="s">
        <v>11</v>
      </c>
      <c r="B9" s="1">
        <v>13</v>
      </c>
      <c r="C9" s="1">
        <v>523.05999999999995</v>
      </c>
      <c r="D9" s="1">
        <v>40.24</v>
      </c>
      <c r="E9" t="str">
        <f t="shared" ref="E3:E25" si="1">IF(AND(D9&gt;AVERAGE($D$2:$D$25),B9&lt;3),"High value, few customers","")</f>
        <v/>
      </c>
    </row>
    <row r="10" spans="1:5">
      <c r="A10" s="1" t="s">
        <v>12</v>
      </c>
      <c r="B10" s="1">
        <v>1</v>
      </c>
      <c r="C10" s="1">
        <v>39.619999999999997</v>
      </c>
      <c r="D10" s="1">
        <v>39.619999999999997</v>
      </c>
      <c r="E10" t="str">
        <f t="shared" si="1"/>
        <v/>
      </c>
    </row>
    <row r="11" spans="1:5">
      <c r="A11" s="1" t="s">
        <v>13</v>
      </c>
      <c r="B11" s="1">
        <v>4</v>
      </c>
      <c r="C11" s="1">
        <v>156.47999999999999</v>
      </c>
      <c r="D11" s="1">
        <v>39.119999999999997</v>
      </c>
      <c r="E11" t="str">
        <f t="shared" si="1"/>
        <v/>
      </c>
    </row>
    <row r="12" spans="1:5">
      <c r="A12" s="1" t="s">
        <v>14</v>
      </c>
      <c r="B12" s="1">
        <v>5</v>
      </c>
      <c r="C12" s="1">
        <v>195.1</v>
      </c>
      <c r="D12" s="1">
        <v>39.020000000000003</v>
      </c>
      <c r="E12" t="str">
        <f t="shared" si="1"/>
        <v/>
      </c>
    </row>
    <row r="13" spans="1:5">
      <c r="A13" s="1" t="s">
        <v>15</v>
      </c>
      <c r="B13" s="1">
        <v>2</v>
      </c>
      <c r="C13" s="1">
        <v>77.239999999999995</v>
      </c>
      <c r="D13" s="1">
        <v>38.619999999999997</v>
      </c>
      <c r="E13" t="str">
        <f t="shared" si="1"/>
        <v/>
      </c>
    </row>
    <row r="14" spans="1:5">
      <c r="A14" s="1" t="s">
        <v>16</v>
      </c>
      <c r="B14" s="1">
        <v>1</v>
      </c>
      <c r="C14" s="1">
        <v>38.619999999999997</v>
      </c>
      <c r="D14" s="1">
        <v>38.619999999999997</v>
      </c>
      <c r="E14" t="str">
        <f t="shared" si="1"/>
        <v/>
      </c>
    </row>
    <row r="15" spans="1:5">
      <c r="A15" s="1" t="s">
        <v>17</v>
      </c>
      <c r="B15" s="1">
        <v>5</v>
      </c>
      <c r="C15" s="1">
        <v>190.1</v>
      </c>
      <c r="D15" s="1">
        <v>38.020000000000003</v>
      </c>
      <c r="E15" t="str">
        <f t="shared" si="1"/>
        <v/>
      </c>
    </row>
    <row r="16" spans="1:5">
      <c r="A16" s="1" t="s">
        <v>18</v>
      </c>
      <c r="B16" s="1">
        <v>8</v>
      </c>
      <c r="C16" s="1">
        <v>303.95999999999998</v>
      </c>
      <c r="D16" s="1">
        <v>38</v>
      </c>
      <c r="E16" t="str">
        <f t="shared" si="1"/>
        <v/>
      </c>
    </row>
    <row r="17" spans="1:5">
      <c r="A17" s="1" t="s">
        <v>10</v>
      </c>
      <c r="B17" s="1">
        <v>2</v>
      </c>
      <c r="C17" s="1">
        <v>75.260000000000005</v>
      </c>
      <c r="D17" s="1">
        <v>37.630000000000003</v>
      </c>
      <c r="E17" t="str">
        <f t="shared" si="1"/>
        <v/>
      </c>
    </row>
    <row r="18" spans="1:5">
      <c r="A18" s="1" t="s">
        <v>23</v>
      </c>
      <c r="B18" s="1">
        <v>1</v>
      </c>
      <c r="C18" s="1">
        <v>37.619999999999997</v>
      </c>
      <c r="D18" s="1">
        <v>37.619999999999997</v>
      </c>
      <c r="E18" t="str">
        <f t="shared" si="1"/>
        <v/>
      </c>
    </row>
    <row r="19" spans="1:5">
      <c r="A19" s="1" t="s">
        <v>24</v>
      </c>
      <c r="B19" s="1">
        <v>1</v>
      </c>
      <c r="C19" s="1">
        <v>37.619999999999997</v>
      </c>
      <c r="D19" s="1">
        <v>37.619999999999997</v>
      </c>
      <c r="E19" t="str">
        <f t="shared" si="1"/>
        <v/>
      </c>
    </row>
    <row r="20" spans="1:5">
      <c r="A20" s="1" t="s">
        <v>19</v>
      </c>
      <c r="B20" s="1">
        <v>1</v>
      </c>
      <c r="C20" s="1">
        <v>37.619999999999997</v>
      </c>
      <c r="D20" s="1">
        <v>37.619999999999997</v>
      </c>
      <c r="E20" t="str">
        <f t="shared" si="1"/>
        <v/>
      </c>
    </row>
    <row r="21" spans="1:5">
      <c r="A21" s="1" t="s">
        <v>20</v>
      </c>
      <c r="B21" s="1">
        <v>1</v>
      </c>
      <c r="C21" s="1">
        <v>37.619999999999997</v>
      </c>
      <c r="D21" s="1">
        <v>37.619999999999997</v>
      </c>
      <c r="E21" t="str">
        <f t="shared" si="1"/>
        <v/>
      </c>
    </row>
    <row r="22" spans="1:5">
      <c r="A22" s="1" t="s">
        <v>21</v>
      </c>
      <c r="B22" s="1">
        <v>1</v>
      </c>
      <c r="C22" s="1">
        <v>37.619999999999997</v>
      </c>
      <c r="D22" s="1">
        <v>37.619999999999997</v>
      </c>
      <c r="E22" t="str">
        <f t="shared" si="1"/>
        <v/>
      </c>
    </row>
    <row r="23" spans="1:5">
      <c r="A23" s="1" t="s">
        <v>22</v>
      </c>
      <c r="B23" s="1">
        <v>1</v>
      </c>
      <c r="C23" s="1">
        <v>37.619999999999997</v>
      </c>
      <c r="D23" s="1">
        <v>37.619999999999997</v>
      </c>
      <c r="E23" t="str">
        <f t="shared" si="1"/>
        <v/>
      </c>
    </row>
    <row r="24" spans="1:5">
      <c r="A24" s="1" t="s">
        <v>25</v>
      </c>
      <c r="B24" s="1">
        <v>3</v>
      </c>
      <c r="C24" s="1">
        <v>112.86</v>
      </c>
      <c r="D24" s="1">
        <v>37.619999999999997</v>
      </c>
      <c r="E24" t="str">
        <f t="shared" si="1"/>
        <v/>
      </c>
    </row>
    <row r="25" spans="1:5">
      <c r="A25" s="1" t="s">
        <v>26</v>
      </c>
      <c r="B25" s="1">
        <v>1</v>
      </c>
      <c r="C25" s="1">
        <v>37.619999999999997</v>
      </c>
      <c r="D25" s="1">
        <v>37.619999999999997</v>
      </c>
      <c r="E25" t="str">
        <f t="shared" si="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354E-2156-41A1-B397-5CABF83F7C9F}">
  <dimension ref="A1:B6"/>
  <sheetViews>
    <sheetView workbookViewId="0">
      <selection activeCell="C4" sqref="C4"/>
    </sheetView>
  </sheetViews>
  <sheetFormatPr defaultRowHeight="15"/>
  <sheetData>
    <row r="1" spans="1:2">
      <c r="A1" s="5" t="s">
        <v>31</v>
      </c>
      <c r="B1" s="5" t="s">
        <v>32</v>
      </c>
    </row>
    <row r="2" spans="1:2">
      <c r="A2" s="1" t="s">
        <v>33</v>
      </c>
      <c r="B2" s="1">
        <v>826.65</v>
      </c>
    </row>
    <row r="3" spans="1:2">
      <c r="A3" s="1" t="s">
        <v>34</v>
      </c>
      <c r="B3" s="1">
        <v>382.14</v>
      </c>
    </row>
    <row r="4" spans="1:2">
      <c r="A4" s="1" t="s">
        <v>35</v>
      </c>
      <c r="B4" s="1">
        <v>261.36</v>
      </c>
    </row>
    <row r="5" spans="1:2">
      <c r="A5" s="1" t="s">
        <v>36</v>
      </c>
      <c r="B5" s="1">
        <v>241.56</v>
      </c>
    </row>
    <row r="6" spans="1:2">
      <c r="A6" s="1" t="s">
        <v>37</v>
      </c>
      <c r="B6" s="1">
        <v>93.53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DC2E-1582-4994-92E5-BA1666A8C538}">
  <dimension ref="A1:B26"/>
  <sheetViews>
    <sheetView workbookViewId="0"/>
  </sheetViews>
  <sheetFormatPr defaultRowHeight="15"/>
  <cols>
    <col min="1" max="1" width="15.42578125" bestFit="1" customWidth="1"/>
    <col min="2" max="2" width="20.42578125" bestFit="1" customWidth="1"/>
  </cols>
  <sheetData>
    <row r="1" spans="1:2">
      <c r="A1" s="2" t="s">
        <v>0</v>
      </c>
      <c r="B1" t="s">
        <v>38</v>
      </c>
    </row>
    <row r="2" spans="1:2">
      <c r="A2" t="s">
        <v>21</v>
      </c>
      <c r="B2" s="3">
        <v>7</v>
      </c>
    </row>
    <row r="3" spans="1:2">
      <c r="A3" t="s">
        <v>22</v>
      </c>
      <c r="B3" s="3">
        <v>7</v>
      </c>
    </row>
    <row r="4" spans="1:2">
      <c r="A4" t="s">
        <v>7</v>
      </c>
      <c r="B4" s="3">
        <v>7</v>
      </c>
    </row>
    <row r="5" spans="1:2">
      <c r="A5" t="s">
        <v>20</v>
      </c>
      <c r="B5" s="3">
        <v>7</v>
      </c>
    </row>
    <row r="6" spans="1:2">
      <c r="A6" t="s">
        <v>17</v>
      </c>
      <c r="B6" s="3">
        <v>35</v>
      </c>
    </row>
    <row r="7" spans="1:2">
      <c r="A7" t="s">
        <v>18</v>
      </c>
      <c r="B7" s="3">
        <v>56</v>
      </c>
    </row>
    <row r="8" spans="1:2">
      <c r="A8" t="s">
        <v>3</v>
      </c>
      <c r="B8" s="3">
        <v>7</v>
      </c>
    </row>
    <row r="9" spans="1:2">
      <c r="A9" t="s">
        <v>6</v>
      </c>
      <c r="B9" s="3">
        <v>14</v>
      </c>
    </row>
    <row r="10" spans="1:2">
      <c r="A10" t="s">
        <v>19</v>
      </c>
      <c r="B10" s="3">
        <v>7</v>
      </c>
    </row>
    <row r="11" spans="1:2">
      <c r="A11" t="s">
        <v>8</v>
      </c>
      <c r="B11" s="3">
        <v>7</v>
      </c>
    </row>
    <row r="12" spans="1:2">
      <c r="A12" t="s">
        <v>14</v>
      </c>
      <c r="B12" s="3">
        <v>35</v>
      </c>
    </row>
    <row r="13" spans="1:2">
      <c r="A13" t="s">
        <v>13</v>
      </c>
      <c r="B13" s="3">
        <v>28</v>
      </c>
    </row>
    <row r="14" spans="1:2">
      <c r="A14" t="s">
        <v>4</v>
      </c>
      <c r="B14" s="3">
        <v>7</v>
      </c>
    </row>
    <row r="15" spans="1:2">
      <c r="A15" t="s">
        <v>10</v>
      </c>
      <c r="B15" s="3">
        <v>13</v>
      </c>
    </row>
    <row r="16" spans="1:2">
      <c r="A16" t="s">
        <v>5</v>
      </c>
      <c r="B16" s="3">
        <v>7</v>
      </c>
    </row>
    <row r="17" spans="1:2">
      <c r="A17" t="s">
        <v>24</v>
      </c>
      <c r="B17" s="3">
        <v>7</v>
      </c>
    </row>
    <row r="18" spans="1:2">
      <c r="A18" t="s">
        <v>9</v>
      </c>
      <c r="B18" s="3">
        <v>7</v>
      </c>
    </row>
    <row r="19" spans="1:2">
      <c r="A19" t="s">
        <v>12</v>
      </c>
      <c r="B19" s="3">
        <v>7</v>
      </c>
    </row>
    <row r="20" spans="1:2">
      <c r="A20" t="s">
        <v>23</v>
      </c>
      <c r="B20" s="3">
        <v>7</v>
      </c>
    </row>
    <row r="21" spans="1:2">
      <c r="A21" t="s">
        <v>15</v>
      </c>
      <c r="B21" s="3">
        <v>14</v>
      </c>
    </row>
    <row r="22" spans="1:2">
      <c r="A22" t="s">
        <v>26</v>
      </c>
      <c r="B22" s="3">
        <v>7</v>
      </c>
    </row>
    <row r="23" spans="1:2">
      <c r="A23" t="s">
        <v>16</v>
      </c>
      <c r="B23" s="3">
        <v>7</v>
      </c>
    </row>
    <row r="24" spans="1:2">
      <c r="A24" t="s">
        <v>25</v>
      </c>
      <c r="B24" s="3">
        <v>21</v>
      </c>
    </row>
    <row r="25" spans="1:2">
      <c r="A25" t="s">
        <v>11</v>
      </c>
      <c r="B25" s="3">
        <v>91</v>
      </c>
    </row>
    <row r="26" spans="1:2">
      <c r="A26" t="s">
        <v>39</v>
      </c>
      <c r="B26" s="3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17E8-6193-4060-B542-3B238B38553F}">
  <dimension ref="A1:G25"/>
  <sheetViews>
    <sheetView tabSelected="1" workbookViewId="0">
      <selection activeCell="G2" sqref="G2:G4"/>
    </sheetView>
  </sheetViews>
  <sheetFormatPr defaultRowHeight="15"/>
  <sheetData>
    <row r="1" spans="1:7">
      <c r="A1" s="5" t="s">
        <v>0</v>
      </c>
      <c r="B1" s="5" t="s">
        <v>28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</row>
    <row r="2" spans="1:7">
      <c r="A2" s="1" t="s">
        <v>11</v>
      </c>
      <c r="B2" s="1">
        <v>523.05999999999995</v>
      </c>
      <c r="C2" s="1">
        <v>91</v>
      </c>
      <c r="D2" s="1">
        <v>13</v>
      </c>
      <c r="E2" s="4">
        <f>B2/SUM($B$2:$B$25)</f>
        <v>0.22462423773941437</v>
      </c>
      <c r="F2" t="s">
        <v>45</v>
      </c>
      <c r="G2" s="6">
        <f>AVERAGE(B2:B25)</f>
        <v>97.024999999999935</v>
      </c>
    </row>
    <row r="3" spans="1:7">
      <c r="A3" s="1" t="s">
        <v>18</v>
      </c>
      <c r="B3" s="1">
        <v>303.95999999999998</v>
      </c>
      <c r="C3" s="1">
        <v>56</v>
      </c>
      <c r="D3" s="1">
        <v>8</v>
      </c>
      <c r="E3" s="4">
        <f t="shared" ref="E3:E25" si="0">B3/SUM($B$2:$B$25)</f>
        <v>0.13053336768874008</v>
      </c>
      <c r="F3" t="s">
        <v>46</v>
      </c>
      <c r="G3" s="6">
        <f t="shared" ref="G3:G4" si="1">AVERAGE(B3:B26)</f>
        <v>78.501739130434714</v>
      </c>
    </row>
    <row r="4" spans="1:7">
      <c r="A4" s="1" t="s">
        <v>14</v>
      </c>
      <c r="B4" s="1">
        <v>195.1</v>
      </c>
      <c r="C4" s="1">
        <v>35</v>
      </c>
      <c r="D4" s="1">
        <v>5</v>
      </c>
      <c r="E4" s="4">
        <f t="shared" si="0"/>
        <v>8.3784248046036292E-2</v>
      </c>
      <c r="F4" t="s">
        <v>47</v>
      </c>
      <c r="G4" s="6">
        <f t="shared" si="1"/>
        <v>68.253636363636303</v>
      </c>
    </row>
    <row r="5" spans="1:7">
      <c r="A5" s="1" t="s">
        <v>17</v>
      </c>
      <c r="B5" s="1">
        <v>190.1</v>
      </c>
      <c r="C5" s="1">
        <v>35</v>
      </c>
      <c r="D5" s="1">
        <v>5</v>
      </c>
      <c r="E5" s="4">
        <f t="shared" si="0"/>
        <v>8.1637035128403382E-2</v>
      </c>
    </row>
    <row r="6" spans="1:7">
      <c r="A6" s="1" t="s">
        <v>13</v>
      </c>
      <c r="B6" s="1">
        <v>156.47999999999999</v>
      </c>
      <c r="C6" s="1">
        <v>28</v>
      </c>
      <c r="D6" s="1">
        <v>4</v>
      </c>
      <c r="E6" s="4">
        <f t="shared" si="0"/>
        <v>6.7199175470239667E-2</v>
      </c>
    </row>
    <row r="7" spans="1:7">
      <c r="A7" s="1" t="s">
        <v>25</v>
      </c>
      <c r="B7" s="1">
        <v>112.86</v>
      </c>
      <c r="C7" s="1">
        <v>21</v>
      </c>
      <c r="D7" s="1">
        <v>3</v>
      </c>
      <c r="E7" s="4">
        <f t="shared" si="0"/>
        <v>4.8466889976810132E-2</v>
      </c>
    </row>
    <row r="8" spans="1:7">
      <c r="A8" s="1" t="s">
        <v>6</v>
      </c>
      <c r="B8" s="1">
        <v>90.24</v>
      </c>
      <c r="C8" s="1">
        <v>14</v>
      </c>
      <c r="D8" s="1">
        <v>2</v>
      </c>
      <c r="E8" s="4">
        <f t="shared" si="0"/>
        <v>3.8752898737438826E-2</v>
      </c>
    </row>
    <row r="9" spans="1:7">
      <c r="A9" s="1" t="s">
        <v>15</v>
      </c>
      <c r="B9" s="1">
        <v>77.239999999999995</v>
      </c>
      <c r="C9" s="1">
        <v>14</v>
      </c>
      <c r="D9" s="1">
        <v>2</v>
      </c>
      <c r="E9" s="4">
        <f t="shared" si="0"/>
        <v>3.317014515159325E-2</v>
      </c>
    </row>
    <row r="10" spans="1:7">
      <c r="A10" s="1" t="s">
        <v>10</v>
      </c>
      <c r="B10" s="1">
        <v>75.260000000000005</v>
      </c>
      <c r="C10" s="1">
        <v>13</v>
      </c>
      <c r="D10" s="1">
        <v>2</v>
      </c>
      <c r="E10" s="4">
        <f t="shared" si="0"/>
        <v>3.231984883621062E-2</v>
      </c>
    </row>
    <row r="11" spans="1:7">
      <c r="A11" s="1" t="s">
        <v>3</v>
      </c>
      <c r="B11" s="1">
        <v>46.62</v>
      </c>
      <c r="C11" s="1">
        <v>7</v>
      </c>
      <c r="D11" s="1">
        <v>1</v>
      </c>
      <c r="E11" s="4">
        <f t="shared" si="0"/>
        <v>2.0020613244009288E-2</v>
      </c>
    </row>
    <row r="12" spans="1:7">
      <c r="A12" s="1" t="s">
        <v>5</v>
      </c>
      <c r="B12" s="1">
        <v>45.62</v>
      </c>
      <c r="C12" s="1">
        <v>7</v>
      </c>
      <c r="D12" s="1">
        <v>1</v>
      </c>
      <c r="E12" s="4">
        <f t="shared" si="0"/>
        <v>1.9591170660482705E-2</v>
      </c>
    </row>
    <row r="13" spans="1:7">
      <c r="A13" s="1" t="s">
        <v>4</v>
      </c>
      <c r="B13" s="1">
        <v>45.62</v>
      </c>
      <c r="C13" s="1">
        <v>7</v>
      </c>
      <c r="D13" s="1">
        <v>1</v>
      </c>
      <c r="E13" s="4">
        <f t="shared" si="0"/>
        <v>1.9591170660482705E-2</v>
      </c>
    </row>
    <row r="14" spans="1:7">
      <c r="A14" s="1" t="s">
        <v>7</v>
      </c>
      <c r="B14" s="1">
        <v>42.62</v>
      </c>
      <c r="C14" s="1">
        <v>7</v>
      </c>
      <c r="D14" s="1">
        <v>1</v>
      </c>
      <c r="E14" s="4">
        <f t="shared" si="0"/>
        <v>1.8302842909902955E-2</v>
      </c>
    </row>
    <row r="15" spans="1:7">
      <c r="A15" s="1" t="s">
        <v>8</v>
      </c>
      <c r="B15" s="1">
        <v>41.62</v>
      </c>
      <c r="C15" s="1">
        <v>7</v>
      </c>
      <c r="D15" s="1">
        <v>1</v>
      </c>
      <c r="E15" s="4">
        <f t="shared" si="0"/>
        <v>1.7873400326376375E-2</v>
      </c>
    </row>
    <row r="16" spans="1:7">
      <c r="A16" s="1" t="s">
        <v>9</v>
      </c>
      <c r="B16" s="1">
        <v>40.619999999999997</v>
      </c>
      <c r="C16" s="1">
        <v>7</v>
      </c>
      <c r="D16" s="1">
        <v>1</v>
      </c>
      <c r="E16" s="4">
        <f t="shared" si="0"/>
        <v>1.7443957742849792E-2</v>
      </c>
    </row>
    <row r="17" spans="1:5">
      <c r="A17" s="1" t="s">
        <v>12</v>
      </c>
      <c r="B17" s="1">
        <v>39.619999999999997</v>
      </c>
      <c r="C17" s="1">
        <v>7</v>
      </c>
      <c r="D17" s="1">
        <v>1</v>
      </c>
      <c r="E17" s="4">
        <f t="shared" si="0"/>
        <v>1.7014515159323208E-2</v>
      </c>
    </row>
    <row r="18" spans="1:5">
      <c r="A18" s="1" t="s">
        <v>16</v>
      </c>
      <c r="B18" s="1">
        <v>38.619999999999997</v>
      </c>
      <c r="C18" s="1">
        <v>7</v>
      </c>
      <c r="D18" s="1">
        <v>1</v>
      </c>
      <c r="E18" s="4">
        <f t="shared" si="0"/>
        <v>1.6585072575796625E-2</v>
      </c>
    </row>
    <row r="19" spans="1:5">
      <c r="A19" s="1" t="s">
        <v>26</v>
      </c>
      <c r="B19" s="1">
        <v>37.619999999999997</v>
      </c>
      <c r="C19" s="1">
        <v>7</v>
      </c>
      <c r="D19" s="1">
        <v>1</v>
      </c>
      <c r="E19" s="4">
        <f t="shared" si="0"/>
        <v>1.6155629992270042E-2</v>
      </c>
    </row>
    <row r="20" spans="1:5">
      <c r="A20" s="1" t="s">
        <v>23</v>
      </c>
      <c r="B20" s="1">
        <v>37.619999999999997</v>
      </c>
      <c r="C20" s="1">
        <v>7</v>
      </c>
      <c r="D20" s="1">
        <v>1</v>
      </c>
      <c r="E20" s="4">
        <f t="shared" si="0"/>
        <v>1.6155629992270042E-2</v>
      </c>
    </row>
    <row r="21" spans="1:5">
      <c r="A21" s="1" t="s">
        <v>24</v>
      </c>
      <c r="B21" s="1">
        <v>37.619999999999997</v>
      </c>
      <c r="C21" s="1">
        <v>7</v>
      </c>
      <c r="D21" s="1">
        <v>1</v>
      </c>
      <c r="E21" s="4">
        <f t="shared" si="0"/>
        <v>1.6155629992270042E-2</v>
      </c>
    </row>
    <row r="22" spans="1:5">
      <c r="A22" s="1" t="s">
        <v>20</v>
      </c>
      <c r="B22" s="1">
        <v>37.619999999999997</v>
      </c>
      <c r="C22" s="1">
        <v>7</v>
      </c>
      <c r="D22" s="1">
        <v>1</v>
      </c>
      <c r="E22" s="4">
        <f t="shared" si="0"/>
        <v>1.6155629992270042E-2</v>
      </c>
    </row>
    <row r="23" spans="1:5">
      <c r="A23" s="1" t="s">
        <v>21</v>
      </c>
      <c r="B23" s="1">
        <v>37.619999999999997</v>
      </c>
      <c r="C23" s="1">
        <v>7</v>
      </c>
      <c r="D23" s="1">
        <v>1</v>
      </c>
      <c r="E23" s="4">
        <f t="shared" si="0"/>
        <v>1.6155629992270042E-2</v>
      </c>
    </row>
    <row r="24" spans="1:5">
      <c r="A24" s="1" t="s">
        <v>22</v>
      </c>
      <c r="B24" s="1">
        <v>37.619999999999997</v>
      </c>
      <c r="C24" s="1">
        <v>7</v>
      </c>
      <c r="D24" s="1">
        <v>1</v>
      </c>
      <c r="E24" s="4">
        <f t="shared" si="0"/>
        <v>1.6155629992270042E-2</v>
      </c>
    </row>
    <row r="25" spans="1:5">
      <c r="A25" s="1" t="s">
        <v>19</v>
      </c>
      <c r="B25" s="1">
        <v>37.619999999999997</v>
      </c>
      <c r="C25" s="1">
        <v>7</v>
      </c>
      <c r="D25" s="1">
        <v>1</v>
      </c>
      <c r="E25" s="4">
        <f t="shared" si="0"/>
        <v>1.6155629992270042E-2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2026-10-02T11:20:34Z</dcterms:created>
  <dcterms:modified xsi:type="dcterms:W3CDTF">2026-10-09T01:51:26Z</dcterms:modified>
  <cp:category/>
  <cp:contentStatus/>
</cp:coreProperties>
</file>